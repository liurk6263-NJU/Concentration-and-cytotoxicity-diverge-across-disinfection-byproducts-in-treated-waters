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jzhaobi_connect_ust_hk/Documents/Research/Jing Project-20210225/Jing-PhD/Manuscript/EEH-toxicity/experiment/"/>
    </mc:Choice>
  </mc:AlternateContent>
  <xr:revisionPtr revIDLastSave="35" documentId="11_F25DC773A252ABDACC1048CBA19A69AA5ADE58EA" xr6:coauthVersionLast="47" xr6:coauthVersionMax="47" xr10:uidLastSave="{E70974D7-46BD-4B72-A980-02187EA8B7ED}"/>
  <bookViews>
    <workbookView xWindow="-110" yWindow="-110" windowWidth="2070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0" i="1"/>
  <c r="D3" i="1"/>
  <c r="C3" i="1"/>
  <c r="C10" i="1"/>
  <c r="C17" i="1"/>
</calcChain>
</file>

<file path=xl/sharedStrings.xml><?xml version="1.0" encoding="utf-8"?>
<sst xmlns="http://schemas.openxmlformats.org/spreadsheetml/2006/main" count="23" uniqueCount="11">
  <si>
    <t>sample 1</t>
  </si>
  <si>
    <t>2,6-dichlorophenol</t>
  </si>
  <si>
    <t>2-Chloro-4-nitrophenol</t>
  </si>
  <si>
    <t>sample 2</t>
  </si>
  <si>
    <t>3,5-Diiodo-4-hydroxybenzaldehyde</t>
  </si>
  <si>
    <t>5-Bromosalicylic acid</t>
  </si>
  <si>
    <t>sample 3</t>
  </si>
  <si>
    <t>average</t>
  </si>
  <si>
    <t>error</t>
  </si>
  <si>
    <t>Measured total LC50 (M)</t>
  </si>
  <si>
    <t>Assumed total LC50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</si>
</sst>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E6" sqref="E6"/>
    </sheetView>
  </sheetViews>
  <sheetFormatPr defaultRowHeight="14.5" x14ac:dyDescent="0.35"/>
  <cols>
    <col min="1" max="1" width="31.08984375" customWidth="1"/>
    <col min="2" max="2" width="21.1796875" customWidth="1"/>
    <col min="4" max="4" width="11.81640625" bestFit="1" customWidth="1"/>
  </cols>
  <sheetData>
    <row r="1" spans="1:4" x14ac:dyDescent="0.35">
      <c r="A1" s="4" t="s">
        <v>0</v>
      </c>
      <c r="B1" s="5" t="s">
        <v>10</v>
      </c>
      <c r="C1" s="1" t="s">
        <v>9</v>
      </c>
      <c r="D1" s="1"/>
    </row>
    <row r="2" spans="1:4" s="5" customFormat="1" x14ac:dyDescent="0.35">
      <c r="A2" s="6"/>
      <c r="C2" s="5" t="s">
        <v>7</v>
      </c>
      <c r="D2" s="5" t="s">
        <v>8</v>
      </c>
    </row>
    <row r="3" spans="1:4" x14ac:dyDescent="0.35">
      <c r="A3" s="3" t="s">
        <v>1</v>
      </c>
      <c r="B3">
        <v>1.8039620000000001E-3</v>
      </c>
      <c r="C3">
        <f>1.641481*0.001</f>
        <v>1.641481E-3</v>
      </c>
      <c r="D3">
        <f>0.120113*0.001</f>
        <v>1.2011299999999999E-4</v>
      </c>
    </row>
    <row r="4" spans="1:4" x14ac:dyDescent="0.35">
      <c r="A4" s="3" t="s">
        <v>2</v>
      </c>
    </row>
    <row r="5" spans="1:4" x14ac:dyDescent="0.35">
      <c r="A5" s="2"/>
    </row>
    <row r="6" spans="1:4" x14ac:dyDescent="0.35">
      <c r="A6" s="2"/>
    </row>
    <row r="7" spans="1:4" x14ac:dyDescent="0.35">
      <c r="A7" s="2"/>
    </row>
    <row r="8" spans="1:4" x14ac:dyDescent="0.35">
      <c r="A8" s="4" t="s">
        <v>3</v>
      </c>
      <c r="B8" s="5" t="s">
        <v>10</v>
      </c>
      <c r="C8" s="1" t="s">
        <v>9</v>
      </c>
      <c r="D8" s="1"/>
    </row>
    <row r="9" spans="1:4" s="5" customFormat="1" x14ac:dyDescent="0.35">
      <c r="A9" s="6"/>
      <c r="C9" s="5" t="s">
        <v>7</v>
      </c>
      <c r="D9" s="5" t="s">
        <v>8</v>
      </c>
    </row>
    <row r="10" spans="1:4" x14ac:dyDescent="0.35">
      <c r="A10" s="3" t="s">
        <v>4</v>
      </c>
      <c r="B10">
        <v>5.3577400000000004E-4</v>
      </c>
      <c r="C10">
        <f>0.619565*0.001</f>
        <v>6.1956500000000009E-4</v>
      </c>
      <c r="D10">
        <f>0.017802*0.001</f>
        <v>1.7802E-5</v>
      </c>
    </row>
    <row r="11" spans="1:4" x14ac:dyDescent="0.35">
      <c r="A11" s="3" t="s">
        <v>5</v>
      </c>
    </row>
    <row r="12" spans="1:4" x14ac:dyDescent="0.35">
      <c r="A12" s="2"/>
    </row>
    <row r="13" spans="1:4" x14ac:dyDescent="0.35">
      <c r="A13" s="2"/>
    </row>
    <row r="14" spans="1:4" x14ac:dyDescent="0.35">
      <c r="A14" s="2"/>
    </row>
    <row r="15" spans="1:4" x14ac:dyDescent="0.35">
      <c r="A15" s="4" t="s">
        <v>6</v>
      </c>
      <c r="B15" t="s">
        <v>10</v>
      </c>
      <c r="C15" s="1" t="s">
        <v>9</v>
      </c>
      <c r="D15" s="1"/>
    </row>
    <row r="16" spans="1:4" s="5" customFormat="1" x14ac:dyDescent="0.35">
      <c r="A16" s="6"/>
      <c r="C16" s="5" t="s">
        <v>7</v>
      </c>
      <c r="D16" s="5" t="s">
        <v>8</v>
      </c>
    </row>
    <row r="17" spans="1:4" x14ac:dyDescent="0.35">
      <c r="A17" s="3" t="s">
        <v>1</v>
      </c>
      <c r="B17">
        <v>1.1698679999999999E-3</v>
      </c>
      <c r="C17">
        <f>1.249279*0.001</f>
        <v>1.2492790000000001E-3</v>
      </c>
      <c r="D17">
        <f>0.041277*0.001</f>
        <v>4.1277000000000005E-5</v>
      </c>
    </row>
    <row r="18" spans="1:4" x14ac:dyDescent="0.35">
      <c r="A18" s="3" t="s">
        <v>2</v>
      </c>
    </row>
    <row r="19" spans="1:4" x14ac:dyDescent="0.35">
      <c r="A19" s="3" t="s">
        <v>4</v>
      </c>
    </row>
    <row r="20" spans="1:4" x14ac:dyDescent="0.35">
      <c r="A20" s="3" t="s">
        <v>5</v>
      </c>
    </row>
  </sheetData>
  <mergeCells count="3">
    <mergeCell ref="C1:D1"/>
    <mergeCell ref="C8:D8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zhao</dc:creator>
  <cp:lastModifiedBy>ZHAO Jing</cp:lastModifiedBy>
  <dcterms:created xsi:type="dcterms:W3CDTF">2015-06-05T18:17:20Z</dcterms:created>
  <dcterms:modified xsi:type="dcterms:W3CDTF">2024-10-21T15:07:17Z</dcterms:modified>
</cp:coreProperties>
</file>