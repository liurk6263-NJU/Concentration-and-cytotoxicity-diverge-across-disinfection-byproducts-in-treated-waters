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9f6f807b74d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460fb05319043e6"/>
  </x:sheets>
</x:workbook>
</file>

<file path=xl/sharedStrings.xml><?xml version="1.0" encoding="utf-8"?>
<x:sst xmlns:x="http://schemas.openxmlformats.org/spreadsheetml/2006/main">
  <x:si>
    <x:t xml:space="preserve">-lg(LC50)</x:t>
  </x:si>
  <x:si>
    <x:t xml:space="preserve">LC50 (M)</x:t>
  </x:si>
  <x:si>
    <x:t xml:space="preserve">LC50 mg/L</x:t>
  </x:si>
  <x:si>
    <x:t xml:space="preserve">LC50 mM</x:t>
  </x:si>
  <x:si>
    <x:t xml:space="preserve">chemicals</x:t>
  </x:si>
  <x:si>
    <x:t xml:space="preserve">MW</x:t>
  </x:si>
  <x:si>
    <x:t xml:space="preserve">exposure_time_48</x:t>
  </x:si>
  <x:si>
    <x:t xml:space="preserve">48h</x:t>
  </x:si>
  <x:si>
    <x:t xml:space="preserve">2,6-dichlorophenol</x:t>
  </x:si>
  <x:si>
    <x:t xml:space="preserve">2-Chloro-4-nitrophenol</x:t>
  </x:si>
  <x:si>
    <x:t xml:space="preserve">3,5-Diiodo-4-hydroxybenzaldehyde</x:t>
  </x:si>
  <x:si>
    <x:t xml:space="preserve">5-Bromosalicylic acid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</x:si>
</x:sst>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1"/>
      <x:name val="Calibri"/>
      <x:family val="2"/>
    </x:font>
    <x:font>
      <x:b/>
      <x:sz val="11"/>
      <x:color theme="1"/>
      <x:name val="Calibri"/>
      <x:family val="2"/>
      <x:scheme val="minor"/>
    </x:font>
    <x:font>
      <x:b/>
      <x:sz val="11"/>
      <x:color rgb="FFC00000"/>
      <x:name val="Calibri"/>
      <x:family val="2"/>
      <x:scheme val="minor"/>
    </x:font>
    <x:font>
      <x:sz val="9"/>
      <x:name val="Calibri"/>
      <x:family val="3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3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/>
      <x:bottom style="thin">
        <x:color auto="1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1" xfId="0" applyFont="1" applyBorder="1" applyAlignment="1">
      <x:alignment horizontal="center" vertical="top"/>
    </x:xf>
    <x:xf numFmtId="49" fontId="0" fillId="0" borderId="2" xfId="0" applyNumberFormat="1" applyBorder="1" applyAlignment="1">
      <x:alignment horizontal="center"/>
    </x:xf>
    <x:xf numFmtId="0" fontId="0" fillId="0" borderId="0" xfId="0" applyAlignment="1">
      <x:alignment horizontal="center"/>
    </x:xf>
    <x:xf numFmtId="0" fontId="0" fillId="2" borderId="0" xfId="0" applyFill="1"/>
    <x:xf numFmtId="0" fontId="2" fillId="2" borderId="0" xfId="0" applyFont="1" applyFill="1" applyAlignment="1">
      <x:alignment horizontal="center"/>
    </x:xf>
    <x:xf numFmtId="0" fontId="3" fillId="2" borderId="0" xfId="0" applyFont="1" applyFill="1"/>
    <x:xf numFmtId="0" fontId="0" fillId="0" borderId="0" xfId="0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2bb85e1f834a75" /><Relationship Type="http://schemas.openxmlformats.org/officeDocument/2006/relationships/theme" Target="/xl/theme/theme1.xml" Id="R73b805f1e0784aa3" /><Relationship Type="http://schemas.openxmlformats.org/officeDocument/2006/relationships/sharedStrings" Target="/xl/sharedStrings.xml" Id="Ree1c6f1156514fbc" /><Relationship Type="http://schemas.openxmlformats.org/officeDocument/2006/relationships/worksheet" Target="/xl/worksheets/sheet1.xml" Id="R0460fb05319043e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5.28515625" customWidth="1"/>
    <x:col min="2" max="2" width="10" customWidth="1"/>
    <x:col min="3" max="3" width="18.28515625" customWidth="1"/>
    <x:col min="4" max="4" width="11.42578125" customWidth="1"/>
    <x:col min="5" max="5" width="47.140625" hidden="1" customWidth="1"/>
    <x:col min="6" max="6" width="21.42578125" hidden="1" customWidth="1"/>
    <x:col min="8" max="13" width="0" hidden="1" customWidth="1"/>
    <x:col min="14" max="14" width="16.42578125" customWidth="1"/>
  </x:cols>
  <x:sheetData>
    <x:row r="1">
      <x:c r="C1" s="2" t="s">
        <x:v>0</x:v>
      </x:c>
      <x:c r="D1" s="3" t="s">
        <x:v>1</x:v>
      </x:c>
      <x:c r="E1" s="3" t="str">
        <x:v>Concentration (LC50 x 1.2 x 10; 1.2 allows 20% tolerance, g/L)</x:v>
      </x:c>
      <x:c r="F1" s="5" t="str">
        <x:v>Mass (1 mL sample, g)</x:v>
      </x:c>
      <x:c r="H1" s="7" t="s">
        <x:v>2</x:v>
      </x:c>
      <x:c r="I1" s="7"/>
      <x:c r="J1" s="7"/>
      <x:c r="K1" s="7" t="s">
        <x:v>3</x:v>
      </x:c>
      <x:c r="L1" s="7"/>
      <x:c r="M1" s="7"/>
      <x:c r="N1" t="str">
        <x:v>Mean LC50 (mM)</x:v>
      </x:c>
      <x:c r="O1" t="str">
        <x:v>Standard deviation</x:v>
      </x:c>
    </x:row>
    <x:row r="2">
      <x:c r="A2" s="1" t="s">
        <x:v>4</x:v>
      </x:c>
      <x:c r="B2" s="1" t="s">
        <x:v>5</x:v>
      </x:c>
      <x:c r="C2" s="1" t="s">
        <x:v>6</x:v>
      </x:c>
      <x:c r="D2" t="s">
        <x:v>7</x:v>
      </x:c>
      <x:c r="E2" t="s">
        <x:v>7</x:v>
      </x:c>
      <x:c r="F2" s="6" t="s">
        <x:v>7</x:v>
      </x:c>
    </x:row>
    <x:row r="3">
      <x:c r="A3" s="4" t="s">
        <x:v>8</x:v>
      </x:c>
      <x:c r="B3">
        <x:v>163</x:v>
      </x:c>
      <x:c r="C3">
        <x:v>2.417370105537449</x:v>
      </x:c>
      <x:c r="D3" t="n">
        <x:f>10^(-C3)</x:f>
        <x:v>0.003824986392371223</x:v>
      </x:c>
      <x:c r="E3" t="n">
        <x:f>D3*$B3*1.2*10</x:f>
        <x:v>7.481673383478112</x:v>
      </x:c>
      <x:c r="F3" s="6" t="n">
        <x:f>E3/1000</x:f>
        <x:v>0.007481673383478112</x:v>
      </x:c>
      <x:c r="H3">
        <x:v>507.19533000000001</x:v>
      </x:c>
      <x:c r="I3">
        <x:v>534.86231999999995</x:v>
      </x:c>
      <x:c r="J3">
        <x:v>515.37603999999999</x:v>
      </x:c>
      <x:c r="K3" t="n">
        <x:f>H3/$B3</x:f>
        <x:v>3.111627791411043</x:v>
      </x:c>
      <x:c r="L3" t="n">
        <x:f t="shared" ref="L3:M3" si="0">I3/$B3</x:f>
        <x:v>3.281363926380368</x:v>
      </x:c>
      <x:c r="M3">
        <x:f t="shared" si="0"/>
        <x:v>3.1618161963190183</x:v>
      </x:c>
      <x:c r="N3" t="n">
        <x:f>AVERAGE(K3:M3)</x:f>
        <x:v>3.184935971370143</x:v>
      </x:c>
      <x:c r="O3" t="n">
        <x:f>_xlfn.STDEV.P(K3:M3)</x:f>
        <x:v>0.07119682519790789</x:v>
      </x:c>
    </x:row>
    <x:row r="4">
      <x:c r="A4" s="4" t="s">
        <x:v>9</x:v>
      </x:c>
      <x:c r="B4">
        <x:v>173.55199999999999</x:v>
      </x:c>
      <x:c r="C4">
        <x:v>3.198484571603827</x:v>
      </x:c>
      <x:c r="D4" t="n">
        <x:f>10^(-C4)</x:f>
        <x:v>0.0006331628545451801</x:v>
      </x:c>
      <x:c r="E4" t="n">
        <x:f>D4*$B4*1.2*10</x:f>
        <x:v>1.3186401567843011</x:v>
      </x:c>
      <x:c r="F4" s="6" t="n">
        <x:f>E4/1000</x:f>
        <x:v>0.001318640156784301</x:v>
      </x:c>
      <x:c r="H4">
        <x:v>73.522229999999993</x:v>
      </x:c>
      <x:c r="I4">
        <x:v>72.306250000000006</x:v>
      </x:c>
      <x:c r="J4">
        <x:v>74.40325</x:v>
      </x:c>
      <x:c r="K4" t="n">
        <x:f t="shared" ref="K4:K6" si="1">H4/$B4</x:f>
        <x:v>0.4236322831197566</x:v>
      </x:c>
      <x:c r="L4" t="n">
        <x:f t="shared" ref="L4:L6" si="2">I4/$B4</x:f>
        <x:v>0.4166258527703513</x:v>
      </x:c>
      <x:c r="M4" t="n">
        <x:f t="shared" ref="M4:M6" si="3">J4/$B4</x:f>
        <x:v>0.4287086867336591</x:v>
      </x:c>
      <x:c r="N4" t="n">
        <x:f t="shared" ref="N4:N6" si="4">AVERAGE(K4:M4)</x:f>
        <x:v>0.422988940874589</x:v>
      </x:c>
      <x:c r="O4" t="n">
        <x:f t="shared" ref="O4:O6" si="5">_xlfn.STDEV.P(K4:M4)</x:f>
        <x:v>0.004953728298263775</x:v>
      </x:c>
    </x:row>
    <x:row r="5">
      <x:c r="A5" s="4" t="s">
        <x:v>10</x:v>
      </x:c>
      <x:c r="B5">
        <x:v>373.91</x:v>
      </x:c>
      <x:c r="C5">
        <x:v>3.642082766088218</x:v>
      </x:c>
      <x:c r="D5" t="n">
        <x:f>10^(-C5)</x:f>
        <x:v>0.00022799075350262492</x:v>
      </x:c>
      <x:c r="E5" t="n">
        <x:f>D5*$B5*1.2*10</x:f>
        <x:v>1.0229762717059978</x:v>
      </x:c>
      <x:c r="F5" s="6" t="n">
        <x:f>E5/1000</x:f>
        <x:v>0.0010229762717059979</x:v>
      </x:c>
      <x:c r="H5">
        <x:v>68.894760000000005</x:v>
      </x:c>
      <x:c r="I5">
        <x:v>63.738349999999997</x:v>
      </x:c>
      <x:c r="J5">
        <x:v>65.729740000000007</x:v>
      </x:c>
      <x:c r="K5">
        <x:f t="shared" si="1"/>
        <x:v>0.1842549276563879</x:v>
      </x:c>
      <x:c r="L5">
        <x:f t="shared" si="2"/>
        <x:v>0.17046441657083253</x:v>
      </x:c>
      <x:c r="M5">
        <x:f t="shared" si="3"/>
        <x:v>0.17579027038592177</x:v>
      </x:c>
      <x:c r="N5">
        <x:f t="shared" si="4"/>
        <x:v>0.17683653820438072</x:v>
      </x:c>
      <x:c r="O5">
        <x:f t="shared" si="5"/>
        <x:v>5.6783540021831192E-3</x:v>
      </x:c>
    </x:row>
    <x:row r="6">
      <x:c r="A6" s="4" t="s">
        <x:v>11</x:v>
      </x:c>
      <x:c r="B6">
        <x:v>217.02</x:v>
      </x:c>
      <x:c r="C6">
        <x:v>3.070370195494021</x:v>
      </x:c>
      <x:c r="D6" t="n">
        <x:f>10^(-C6)</x:f>
        <x:v>0.0008504128316283052</x:v>
      </x:c>
      <x:c r="E6" t="n">
        <x:f>D6*$B6*1.2*10</x:f>
        <x:v>2.2146791126396974</x:v>
      </x:c>
      <x:c r="F6" s="6" t="n">
        <x:f>E6/1000</x:f>
        <x:v>0.0022146791126396973</x:v>
      </x:c>
      <x:c r="H6">
        <x:v>201.30136999999999</x:v>
      </x:c>
      <x:c r="I6">
        <x:v>188.26705000000001</x:v>
      </x:c>
      <x:c r="J6">
        <x:v>192.94229999999999</x:v>
      </x:c>
      <x:c r="K6">
        <x:f t="shared" si="1"/>
        <x:v>0.92757059257211305</x:v>
      </x:c>
      <x:c r="L6">
        <x:f t="shared" si="2"/>
        <x:v>0.86751013731453319</x:v>
      </x:c>
      <x:c r="M6">
        <x:f t="shared" si="3"/>
        <x:v>0.88905308266519201</x:v>
      </x:c>
      <x:c r="N6">
        <x:f t="shared" si="4"/>
        <x:v>0.89471127085061275</x:v>
      </x:c>
      <x:c r="O6">
        <x:f t="shared" si="5"/>
        <x:v>2.4843857612337691E-2</x:v>
      </x:c>
    </x:row>
  </x:sheetData>
  <x:mergeCells>
    <x:mergeCell ref="H1:J1"/>
    <x:mergeCell ref="K1:M1"/>
  </x:mergeCells>
  <x:pageMargins left="0.7" right="0.7" top="0.75" bottom="0.75" header="0.3" footer="0.3"/>
</x:worksheet>
</file>