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jzhaobi_connect_ust_hk/Documents/Research/Jing Project-20210225/Jing-PhD/Manuscript/EEH-toxicity/experiment/"/>
    </mc:Choice>
  </mc:AlternateContent>
  <xr:revisionPtr revIDLastSave="0" documentId="8_{9D41644B-D2AD-47D8-ACCC-D2CF1E05A50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3" i="1"/>
  <c r="K4" i="1"/>
  <c r="O4" i="1" s="1"/>
  <c r="L4" i="1"/>
  <c r="M4" i="1"/>
  <c r="K5" i="1"/>
  <c r="O5" i="1" s="1"/>
  <c r="L5" i="1"/>
  <c r="M5" i="1"/>
  <c r="K6" i="1"/>
  <c r="O6" i="1" s="1"/>
  <c r="L6" i="1"/>
  <c r="M6" i="1"/>
  <c r="L3" i="1"/>
  <c r="M3" i="1"/>
  <c r="K3" i="1"/>
  <c r="O3" i="1" s="1"/>
  <c r="N5" i="1" l="1"/>
  <c r="N4" i="1"/>
  <c r="D3" i="1"/>
  <c r="E3" i="1" s="1"/>
  <c r="F3" i="1" s="1"/>
  <c r="D4" i="1"/>
  <c r="E4" i="1" s="1"/>
  <c r="F4" i="1" s="1"/>
  <c r="D5" i="1"/>
  <c r="E5" i="1" s="1"/>
  <c r="F5" i="1" s="1"/>
  <c r="D6" i="1"/>
  <c r="E6" i="1" s="1"/>
  <c r="F6" i="1" s="1"/>
</calcChain>
</file>

<file path=xl/sharedStrings.xml><?xml version="1.0" encoding="utf-8"?>
<sst xmlns="http://schemas.openxmlformats.org/spreadsheetml/2006/main" count="18" uniqueCount="16">
  <si>
    <t>-lg(LC50)</t>
  </si>
  <si>
    <t>LC50 (M)</t>
  </si>
  <si>
    <t>浓度 (lc50*1.2*10，1.2是可容错的20%差距, g/L)</t>
  </si>
  <si>
    <t>重量 (体积是1mL，g)</t>
  </si>
  <si>
    <t>LC50 mg/L</t>
    <phoneticPr fontId="4" type="noConversion"/>
  </si>
  <si>
    <t>LC50 mM</t>
    <phoneticPr fontId="4" type="noConversion"/>
  </si>
  <si>
    <t>LC50均值（mM）</t>
    <phoneticPr fontId="4" type="noConversion"/>
  </si>
  <si>
    <t>标准差</t>
    <phoneticPr fontId="4" type="noConversion"/>
  </si>
  <si>
    <t>chemicals</t>
  </si>
  <si>
    <t>MW</t>
  </si>
  <si>
    <t>exposure_time_48</t>
  </si>
  <si>
    <t>48h</t>
  </si>
  <si>
    <t>2,6-dichlorophenol</t>
    <phoneticPr fontId="4" type="noConversion"/>
  </si>
  <si>
    <t>2-Chloro-4-nitrophenol</t>
    <phoneticPr fontId="4" type="noConversion"/>
  </si>
  <si>
    <t>3,5-Diiodo-4-hydroxybenzaldehyde</t>
    <phoneticPr fontId="4" type="noConversion"/>
  </si>
  <si>
    <t>5-Bromosalicylic acid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</si>
</sst>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N9" sqref="N9"/>
    </sheetView>
  </sheetViews>
  <sheetFormatPr defaultRowHeight="15"/>
  <cols>
    <col min="1" max="1" width="35.28515625" customWidth="1"/>
    <col min="2" max="2" width="10" customWidth="1"/>
    <col min="3" max="3" width="18.28515625" customWidth="1"/>
    <col min="4" max="4" width="11.42578125" customWidth="1"/>
    <col min="5" max="5" width="47.140625" hidden="1" customWidth="1"/>
    <col min="6" max="6" width="21.42578125" hidden="1" customWidth="1"/>
    <col min="8" max="13" width="0" hidden="1" customWidth="1"/>
    <col min="14" max="14" width="16.42578125" customWidth="1"/>
  </cols>
  <sheetData>
    <row r="1" spans="1:15">
      <c r="C1" s="2" t="s">
        <v>0</v>
      </c>
      <c r="D1" s="3" t="s">
        <v>1</v>
      </c>
      <c r="E1" s="3" t="s">
        <v>2</v>
      </c>
      <c r="F1" s="5" t="s">
        <v>3</v>
      </c>
      <c r="H1" s="7" t="s">
        <v>4</v>
      </c>
      <c r="I1" s="7"/>
      <c r="J1" s="7"/>
      <c r="K1" s="7" t="s">
        <v>5</v>
      </c>
      <c r="L1" s="7"/>
      <c r="M1" s="7"/>
      <c r="N1" t="s">
        <v>6</v>
      </c>
      <c r="O1" t="s">
        <v>7</v>
      </c>
    </row>
    <row r="2" spans="1:15">
      <c r="A2" s="1" t="s">
        <v>8</v>
      </c>
      <c r="B2" s="1" t="s">
        <v>9</v>
      </c>
      <c r="C2" s="1" t="s">
        <v>10</v>
      </c>
      <c r="D2" t="s">
        <v>11</v>
      </c>
      <c r="E2" t="s">
        <v>11</v>
      </c>
      <c r="F2" s="6" t="s">
        <v>11</v>
      </c>
    </row>
    <row r="3" spans="1:15">
      <c r="A3" s="4" t="s">
        <v>12</v>
      </c>
      <c r="B3">
        <v>163</v>
      </c>
      <c r="C3">
        <v>2.417370105537449</v>
      </c>
      <c r="D3">
        <f>10^(-C3)</f>
        <v>3.8249863923712196E-3</v>
      </c>
      <c r="E3">
        <f>D3*$B3*1.2*10</f>
        <v>7.481673383478106</v>
      </c>
      <c r="F3" s="6">
        <f>E3/1000</f>
        <v>7.4816733834781064E-3</v>
      </c>
      <c r="H3">
        <v>507.19533000000001</v>
      </c>
      <c r="I3">
        <v>534.86231999999995</v>
      </c>
      <c r="J3">
        <v>515.37603999999999</v>
      </c>
      <c r="K3">
        <f>H3/$B3</f>
        <v>3.1116277914110428</v>
      </c>
      <c r="L3">
        <f t="shared" ref="L3:M3" si="0">I3/$B3</f>
        <v>3.2813639263803678</v>
      </c>
      <c r="M3">
        <f t="shared" si="0"/>
        <v>3.1618161963190183</v>
      </c>
      <c r="N3">
        <f>AVERAGE(K3:M3)</f>
        <v>3.1849359713701428</v>
      </c>
      <c r="O3">
        <f>_xlfn.STDEV.P(K3:M3)</f>
        <v>7.119682519790789E-2</v>
      </c>
    </row>
    <row r="4" spans="1:15">
      <c r="A4" s="4" t="s">
        <v>13</v>
      </c>
      <c r="B4">
        <v>173.55199999999999</v>
      </c>
      <c r="C4">
        <v>3.198484571603827</v>
      </c>
      <c r="D4">
        <f>10^(-C4)</f>
        <v>6.3316285454517967E-4</v>
      </c>
      <c r="E4">
        <f>D4*$B4*1.2*10</f>
        <v>1.3186401567843005</v>
      </c>
      <c r="F4" s="6">
        <f>E4/1000</f>
        <v>1.3186401567843004E-3</v>
      </c>
      <c r="H4">
        <v>73.522229999999993</v>
      </c>
      <c r="I4">
        <v>72.306250000000006</v>
      </c>
      <c r="J4">
        <v>74.40325</v>
      </c>
      <c r="K4">
        <f t="shared" ref="K4:K6" si="1">H4/$B4</f>
        <v>0.42363228311975659</v>
      </c>
      <c r="L4">
        <f t="shared" ref="L4:L6" si="2">I4/$B4</f>
        <v>0.4166258527703513</v>
      </c>
      <c r="M4">
        <f t="shared" ref="M4:M6" si="3">J4/$B4</f>
        <v>0.42870868673365908</v>
      </c>
      <c r="N4">
        <f t="shared" ref="N4:N6" si="4">AVERAGE(K4:M4)</f>
        <v>0.42298894087458899</v>
      </c>
      <c r="O4">
        <f t="shared" ref="O4:O6" si="5">_xlfn.STDEV.P(K4:M4)</f>
        <v>4.9537282982637749E-3</v>
      </c>
    </row>
    <row r="5" spans="1:15">
      <c r="A5" s="4" t="s">
        <v>14</v>
      </c>
      <c r="B5">
        <v>373.91</v>
      </c>
      <c r="C5">
        <v>3.642082766088218</v>
      </c>
      <c r="D5">
        <f>10^(-C5)</f>
        <v>2.2799075350262454E-4</v>
      </c>
      <c r="E5">
        <f>D5*$B5*1.2*10</f>
        <v>1.0229762717059963</v>
      </c>
      <c r="F5" s="6">
        <f>E5/1000</f>
        <v>1.0229762717059963E-3</v>
      </c>
      <c r="H5">
        <v>68.894760000000005</v>
      </c>
      <c r="I5">
        <v>63.738349999999997</v>
      </c>
      <c r="J5">
        <v>65.729740000000007</v>
      </c>
      <c r="K5">
        <f t="shared" si="1"/>
        <v>0.1842549276563879</v>
      </c>
      <c r="L5">
        <f t="shared" si="2"/>
        <v>0.17046441657083253</v>
      </c>
      <c r="M5">
        <f t="shared" si="3"/>
        <v>0.17579027038592177</v>
      </c>
      <c r="N5">
        <f t="shared" si="4"/>
        <v>0.17683653820438072</v>
      </c>
      <c r="O5">
        <f t="shared" si="5"/>
        <v>5.6783540021831192E-3</v>
      </c>
    </row>
    <row r="6" spans="1:15">
      <c r="A6" s="4" t="s">
        <v>15</v>
      </c>
      <c r="B6">
        <v>217.02</v>
      </c>
      <c r="C6">
        <v>3.070370195494021</v>
      </c>
      <c r="D6">
        <f>10^(-C6)</f>
        <v>8.5041283162830457E-4</v>
      </c>
      <c r="E6">
        <f>D6*$B6*1.2*10</f>
        <v>2.2146791126396961</v>
      </c>
      <c r="F6" s="6">
        <f>E6/1000</f>
        <v>2.214679112639696E-3</v>
      </c>
      <c r="H6">
        <v>201.30136999999999</v>
      </c>
      <c r="I6">
        <v>188.26705000000001</v>
      </c>
      <c r="J6">
        <v>192.94229999999999</v>
      </c>
      <c r="K6">
        <f t="shared" si="1"/>
        <v>0.92757059257211305</v>
      </c>
      <c r="L6">
        <f t="shared" si="2"/>
        <v>0.86751013731453319</v>
      </c>
      <c r="M6">
        <f t="shared" si="3"/>
        <v>0.88905308266519201</v>
      </c>
      <c r="N6">
        <f t="shared" si="4"/>
        <v>0.89471127085061275</v>
      </c>
      <c r="O6">
        <f t="shared" si="5"/>
        <v>2.4843857612337691E-2</v>
      </c>
    </row>
  </sheetData>
  <mergeCells count="2">
    <mergeCell ref="H1:J1"/>
    <mergeCell ref="K1:M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liu_ruikai2024@163.com</cp:lastModifiedBy>
  <cp:revision/>
  <dcterms:created xsi:type="dcterms:W3CDTF">2024-04-20T02:22:28Z</dcterms:created>
  <dcterms:modified xsi:type="dcterms:W3CDTF">2026-06-04T01:26:50Z</dcterms:modified>
  <cp:category/>
  <cp:contentStatus/>
</cp:coreProperties>
</file>